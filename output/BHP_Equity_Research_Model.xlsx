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3-Statement Model" sheetId="2" state="visible" r:id="rId4"/>
    <sheet name="Assumptions" sheetId="3" state="visible" r:id="rId5"/>
    <sheet name="DCF" sheetId="4" state="visible" r:id="rId6"/>
    <sheet name="Comp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<sst xmlns="http://schemas.openxmlformats.org/spreadsheetml/2006/main" count="179" uniqueCount="137">
  <si>
    <t xml:space="preserve">BHP Group Limited (BHP.AX) - Equity Research Dashboard</t>
  </si>
  <si>
    <t xml:space="preserve">Simplified equity research model | All financials in USD millions unless stated | Educational/portfolio purposes only - not investment advice</t>
  </si>
  <si>
    <t xml:space="preserve">COMPANY SNAPSHOT</t>
  </si>
  <si>
    <t xml:space="preserve">Sector</t>
  </si>
  <si>
    <t xml:space="preserve">Basic Materials</t>
  </si>
  <si>
    <t xml:space="preserve">Industry</t>
  </si>
  <si>
    <t xml:space="preserve">Diversified Mining (Iron Ore, Copper, Coal, Potash)</t>
  </si>
  <si>
    <t xml:space="preserve">Reporting Currency</t>
  </si>
  <si>
    <t xml:space="preserve">USD</t>
  </si>
  <si>
    <t xml:space="preserve">Shares Outstanding (m)</t>
  </si>
  <si>
    <t xml:space="preserve">Current Share Price (AUD)</t>
  </si>
  <si>
    <t xml:space="preserve">Market Cap (AUD m)</t>
  </si>
  <si>
    <t xml:space="preserve">AUD/USD FX Rate</t>
  </si>
  <si>
    <t xml:space="preserve">VALUATION SUMMARY (AUD per share)</t>
  </si>
  <si>
    <t xml:space="preserve">Method</t>
  </si>
  <si>
    <t xml:space="preserve">Implied Price (AUD)</t>
  </si>
  <si>
    <t xml:space="preserve">Type</t>
  </si>
  <si>
    <t xml:space="preserve">Current Share Price</t>
  </si>
  <si>
    <t xml:space="preserve">Market</t>
  </si>
  <si>
    <t xml:space="preserve">DCF Implied Value</t>
  </si>
  <si>
    <t xml:space="preserve">Intrinsic</t>
  </si>
  <si>
    <t xml:space="preserve">Comps (EV/EBITDA avg) Implied Value</t>
  </si>
  <si>
    <t xml:space="preserve">Relative</t>
  </si>
  <si>
    <t xml:space="preserve">Comps (P/E avg) Implied Value</t>
  </si>
  <si>
    <t xml:space="preserve">Implied Upside / (Downside) vs Current - DCF</t>
  </si>
  <si>
    <t xml:space="preserve">KEY DRIVERS (DCF)</t>
  </si>
  <si>
    <t xml:space="preserve">WACC</t>
  </si>
  <si>
    <t xml:space="preserve">Terminal Growth Rate</t>
  </si>
  <si>
    <t xml:space="preserve">Enterprise Value (USDm)</t>
  </si>
  <si>
    <t xml:space="preserve">Net Debt (USDm)</t>
  </si>
  <si>
    <t xml:space="preserve">Equity Value (USDm)</t>
  </si>
  <si>
    <t xml:space="preserve">COMPS SUMMARY</t>
  </si>
  <si>
    <t xml:space="preserve">BHP Current EV/EBITDA</t>
  </si>
  <si>
    <t xml:space="preserve">Peer Average EV/EBITDA</t>
  </si>
  <si>
    <t xml:space="preserve">BHP Current P/E</t>
  </si>
  <si>
    <t xml:space="preserve">Peer Average P/E</t>
  </si>
  <si>
    <t xml:space="preserve">RECOMMENDATION</t>
  </si>
  <si>
    <t xml:space="preserve">SELL</t>
  </si>
  <si>
    <t xml:space="preserve">DCF implies -27.6% vs current price; comps (avg of EV/EBITDA &amp; P/E) imply -43.0%. Blended view: -35.3%. BHP trades at a premium to peers (8.2x EV/EBITDA vs peer avg 4.8x), reflecting its scale, low-cost iron ore position and copper growth optionality - but this premium leaves limited margin of safety at current levels.</t>
  </si>
  <si>
    <t xml:space="preserve">3-Statement Financial Model</t>
  </si>
  <si>
    <t xml:space="preserve">USD millions | FY24A-FY25A actuals, FY26E-FY30E forecast</t>
  </si>
  <si>
    <t xml:space="preserve">INCOME STATEMENT</t>
  </si>
  <si>
    <t xml:space="preserve">(USDm)</t>
  </si>
  <si>
    <t xml:space="preserve">FY24A</t>
  </si>
  <si>
    <t xml:space="preserve">FY25A</t>
  </si>
  <si>
    <t xml:space="preserve">FY26E</t>
  </si>
  <si>
    <t xml:space="preserve">FY27E</t>
  </si>
  <si>
    <t xml:space="preserve">FY28E</t>
  </si>
  <si>
    <t xml:space="preserve">FY29E</t>
  </si>
  <si>
    <t xml:space="preserve">FY30E</t>
  </si>
  <si>
    <t xml:space="preserve">Revenue</t>
  </si>
  <si>
    <t xml:space="preserve">EBITDA</t>
  </si>
  <si>
    <t xml:space="preserve">D&amp;A</t>
  </si>
  <si>
    <t xml:space="preserve">EBIT</t>
  </si>
  <si>
    <t xml:space="preserve">Net Finance Costs</t>
  </si>
  <si>
    <t xml:space="preserve">Profit Before Tax</t>
  </si>
  <si>
    <t xml:space="preserve">Tax Expense</t>
  </si>
  <si>
    <t xml:space="preserve">Net Income</t>
  </si>
  <si>
    <t xml:space="preserve">BALANCE SHEET</t>
  </si>
  <si>
    <t xml:space="preserve">Total Assets</t>
  </si>
  <si>
    <t xml:space="preserve">Total Equity</t>
  </si>
  <si>
    <t xml:space="preserve">Net Debt</t>
  </si>
  <si>
    <t xml:space="preserve">Cash &amp; Equivalents</t>
  </si>
  <si>
    <t xml:space="preserve">CASH FLOW STATEMENT</t>
  </si>
  <si>
    <t xml:space="preserve">Net Operating Cash Flow</t>
  </si>
  <si>
    <t xml:space="preserve">Capex</t>
  </si>
  <si>
    <t xml:space="preserve">Free Cash Flow</t>
  </si>
  <si>
    <t xml:space="preserve">Dividends Paid</t>
  </si>
  <si>
    <t xml:space="preserve">Source: BHP FY2025 Annual Report / SEC Form 6-K (actuals, Aug 2025); forecasts driven by assumptions on the 'Assumptions' tab.</t>
  </si>
  <si>
    <t xml:space="preserve">Forecast Assumptions</t>
  </si>
  <si>
    <t xml:space="preserve">All blue cells are hardcoded inputs - change these to flex the model</t>
  </si>
  <si>
    <t xml:space="preserve">DRIVER</t>
  </si>
  <si>
    <t xml:space="preserve">Revenue Growth %</t>
  </si>
  <si>
    <t xml:space="preserve">EBITDA Margin %</t>
  </si>
  <si>
    <t xml:space="preserve">D&amp;A as % of Revenue</t>
  </si>
  <si>
    <t xml:space="preserve">Capex as % of Revenue</t>
  </si>
  <si>
    <t xml:space="preserve">Effective Tax Rate</t>
  </si>
  <si>
    <t xml:space="preserve">Net Debt Target (USDm)</t>
  </si>
  <si>
    <t xml:space="preserve">Dividend Payout Ratio</t>
  </si>
  <si>
    <t xml:space="preserve">NOTES &amp; SOURCING</t>
  </si>
  <si>
    <t xml:space="preserve">- Revenue growth tapers to ~2.5% (mature large-cap miner; no major new mines beyond Jansen ramp-up).</t>
  </si>
  <si>
    <t xml:space="preserve">- EBITDA margin normalises from FY25's 51% toward BHP's ~20-year average of ~50% as commodity prices ease.</t>
  </si>
  <si>
    <t xml:space="preserve">- Capex elevated at 17% of revenue, reflecting BHP's stated FY26-27 capex guidance (~US$11bn/yr) for the Jansen potash project.</t>
  </si>
  <si>
    <t xml:space="preserve">- Net debt held within BHP's stated target range of US$10-20bn.</t>
  </si>
  <si>
    <t xml:space="preserve">- Cash flow forecast is simplified: ignores working capital swings, JV distributions and divestment proceeds.</t>
  </si>
  <si>
    <t xml:space="preserve">- Historical actuals sourced from BHP FY2025 Annual Report and SEC Form 6-K (August 2025).</t>
  </si>
  <si>
    <t xml:space="preserve">Discounted Cash Flow (DCF) Valuation</t>
  </si>
  <si>
    <t xml:space="preserve">USD millions unless stated | 5-year explicit forecast + Gordon Growth terminal value</t>
  </si>
  <si>
    <t xml:space="preserve">WACC BUILD-UP</t>
  </si>
  <si>
    <t xml:space="preserve">Risk-Free Rate</t>
  </si>
  <si>
    <t xml:space="preserve">Beta</t>
  </si>
  <si>
    <t xml:space="preserve">Equity Risk Premium</t>
  </si>
  <si>
    <t xml:space="preserve">Cost of Equity (CAPM)</t>
  </si>
  <si>
    <t xml:space="preserve">Cost of Debt (pre-tax)</t>
  </si>
  <si>
    <t xml:space="preserve">Tax Rate</t>
  </si>
  <si>
    <t xml:space="preserve">Cost of Debt (after-tax)</t>
  </si>
  <si>
    <t xml:space="preserve">Weight of Equity (E/V)</t>
  </si>
  <si>
    <t xml:space="preserve">Weight of Debt (D/V)</t>
  </si>
  <si>
    <t xml:space="preserve">FREE CASH FLOW FORECAST &amp; DISCOUNTING</t>
  </si>
  <si>
    <t xml:space="preserve">Discount Period (n)</t>
  </si>
  <si>
    <t xml:space="preserve">Discount Factor</t>
  </si>
  <si>
    <t xml:space="preserve">PV of Free Cash Flow</t>
  </si>
  <si>
    <t xml:space="preserve">Sum of PV of FCFs</t>
  </si>
  <si>
    <t xml:space="preserve">Terminal Growth Rate (g)</t>
  </si>
  <si>
    <t xml:space="preserve">Terminal Value (undiscounted)</t>
  </si>
  <si>
    <t xml:space="preserve">PV of Terminal Value</t>
  </si>
  <si>
    <t xml:space="preserve">Enterprise Value</t>
  </si>
  <si>
    <t xml:space="preserve">(-) Net Debt</t>
  </si>
  <si>
    <t xml:space="preserve">Equity Value</t>
  </si>
  <si>
    <t xml:space="preserve">Implied Value per Share (USD)</t>
  </si>
  <si>
    <t xml:space="preserve">Implied Value per Share (AUD)</t>
  </si>
  <si>
    <t xml:space="preserve">Implied Upside / (Downside)</t>
  </si>
  <si>
    <t xml:space="preserve">Comparable Company Analysis</t>
  </si>
  <si>
    <t xml:space="preserve">Peer multiples applied to BHP's own EBITDA / EPS to derive implied valuation</t>
  </si>
  <si>
    <t xml:space="preserve">PEER GROUP</t>
  </si>
  <si>
    <t xml:space="preserve">Company</t>
  </si>
  <si>
    <t xml:space="preserve">EV/EBITDA</t>
  </si>
  <si>
    <t xml:space="preserve">P/E</t>
  </si>
  <si>
    <t xml:space="preserve">Rio Tinto</t>
  </si>
  <si>
    <t xml:space="preserve">Fortescue</t>
  </si>
  <si>
    <t xml:space="preserve">Vale S.A.</t>
  </si>
  <si>
    <t xml:space="preserve">Glencore</t>
  </si>
  <si>
    <t xml:space="preserve">South32</t>
  </si>
  <si>
    <t xml:space="preserve">Peer Average</t>
  </si>
  <si>
    <t xml:space="preserve">Peer Median</t>
  </si>
  <si>
    <t xml:space="preserve">BHP FUNDAMENTALS</t>
  </si>
  <si>
    <t xml:space="preserve">BHP EBITDA FY25 (USDm)</t>
  </si>
  <si>
    <t xml:space="preserve">BHP EPS FY25 (USD)</t>
  </si>
  <si>
    <t xml:space="preserve">IMPLIED VALUATION</t>
  </si>
  <si>
    <t xml:space="preserve">Implied Equity Value (USDm)</t>
  </si>
  <si>
    <t xml:space="preserve">Implied Price (USD)</t>
  </si>
  <si>
    <t xml:space="preserve">EV/EBITDA (Peer Avg)</t>
  </si>
  <si>
    <t xml:space="preserve">EV/EBITDA (Peer Median)</t>
  </si>
  <si>
    <t xml:space="preserve">P/E (Peer Avg)</t>
  </si>
  <si>
    <t xml:space="preserve">n/a</t>
  </si>
  <si>
    <t xml:space="preserve">P/E (Peer Median)</t>
  </si>
  <si>
    <t xml:space="preserve">Peer multiples are illustrative analyst-style estimates (mid-2026) for major diversified miners; see README for methodology and sourcing notes.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</si>
</sst>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\(#,##0\);\-"/>
    <numFmt numFmtId="166" formatCode="&quot;A$&quot;#,##0.00"/>
    <numFmt numFmtId="167" formatCode="0.000"/>
    <numFmt numFmtId="168" formatCode="0.0%;\(0.0%\);\-"/>
    <numFmt numFmtId="169" formatCode="0.0\x"/>
    <numFmt numFmtId="170" formatCode="0.00"/>
    <numFmt numFmtId="171" formatCode="0"/>
    <numFmt numFmtId="172" formatCode="\(#,##0\);#,##0"/>
    <numFmt numFmtId="173" formatCode="\$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3"/>
      <color rgb="FF1F4E7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2828"/>
        <bgColor rgb="FF993366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C62828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8" min="2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4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5" t="s">
        <v>3</v>
      </c>
      <c r="B5" s="6" t="s">
        <v>4</v>
      </c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A6" s="5" t="s">
        <v>5</v>
      </c>
      <c r="B6" s="6" t="s">
        <v>6</v>
      </c>
      <c r="C6" s="3"/>
      <c r="D6" s="3"/>
      <c r="E6" s="3"/>
      <c r="F6" s="3"/>
      <c r="G6" s="3"/>
      <c r="H6" s="3"/>
    </row>
    <row r="7" customFormat="false" ht="15" hidden="false" customHeight="false" outlineLevel="0" collapsed="false">
      <c r="A7" s="5" t="s">
        <v>7</v>
      </c>
      <c r="B7" s="6" t="s">
        <v>8</v>
      </c>
      <c r="C7" s="3"/>
      <c r="D7" s="3"/>
      <c r="E7" s="3"/>
      <c r="F7" s="3"/>
      <c r="G7" s="3"/>
      <c r="H7" s="3"/>
    </row>
    <row r="8" customFormat="false" ht="15" hidden="false" customHeight="false" outlineLevel="0" collapsed="false">
      <c r="A8" s="5" t="s">
        <v>9</v>
      </c>
      <c r="B8" s="7" t="n">
        <v>5382.6</v>
      </c>
      <c r="C8" s="3"/>
      <c r="D8" s="3"/>
      <c r="E8" s="3"/>
      <c r="F8" s="3"/>
      <c r="G8" s="3"/>
      <c r="H8" s="3"/>
    </row>
    <row r="9" customFormat="false" ht="15" hidden="false" customHeight="false" outlineLevel="0" collapsed="false">
      <c r="A9" s="5" t="s">
        <v>10</v>
      </c>
      <c r="B9" s="8" t="n">
        <v>57</v>
      </c>
      <c r="C9" s="3"/>
      <c r="D9" s="3"/>
      <c r="E9" s="3"/>
      <c r="F9" s="3"/>
      <c r="G9" s="3"/>
      <c r="H9" s="3"/>
    </row>
    <row r="10" customFormat="false" ht="15" hidden="false" customHeight="false" outlineLevel="0" collapsed="false">
      <c r="A10" s="5" t="s">
        <v>11</v>
      </c>
      <c r="B10" s="7" t="n">
        <v>306807</v>
      </c>
      <c r="C10" s="3"/>
      <c r="D10" s="3"/>
      <c r="E10" s="3"/>
      <c r="F10" s="3"/>
      <c r="G10" s="3"/>
      <c r="H10" s="3"/>
    </row>
    <row r="11" customFormat="false" ht="15" hidden="false" customHeight="false" outlineLevel="0" collapsed="false">
      <c r="A11" s="5" t="s">
        <v>12</v>
      </c>
      <c r="B11" s="9" t="n">
        <v>0.655</v>
      </c>
      <c r="C11" s="3"/>
      <c r="D11" s="3"/>
      <c r="E11" s="3"/>
      <c r="F11" s="3"/>
      <c r="G11" s="3"/>
      <c r="H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4" t="s">
        <v>13</v>
      </c>
      <c r="B13" s="3"/>
      <c r="C13" s="3"/>
      <c r="D13" s="3"/>
      <c r="E13" s="3"/>
      <c r="F13" s="3"/>
      <c r="G13" s="3"/>
      <c r="H13" s="3"/>
    </row>
    <row r="14" customFormat="false" ht="15" hidden="false" customHeight="false" outlineLevel="0" collapsed="false">
      <c r="A14" s="10" t="s">
        <v>14</v>
      </c>
      <c r="B14" s="10" t="s">
        <v>15</v>
      </c>
      <c r="C14" s="10" t="s">
        <v>16</v>
      </c>
      <c r="D14" s="3"/>
      <c r="E14" s="3"/>
      <c r="F14" s="3"/>
      <c r="G14" s="3"/>
      <c r="H14" s="3"/>
    </row>
    <row r="15" customFormat="false" ht="15" hidden="false" customHeight="false" outlineLevel="0" collapsed="false">
      <c r="A15" s="5" t="s">
        <v>17</v>
      </c>
      <c r="B15" s="8" t="n">
        <v>57</v>
      </c>
      <c r="C15" s="3" t="s">
        <v>18</v>
      </c>
      <c r="D15" s="3"/>
      <c r="E15" s="3"/>
      <c r="F15" s="3"/>
      <c r="G15" s="3"/>
      <c r="H15" s="3"/>
    </row>
    <row r="16" customFormat="false" ht="15" hidden="false" customHeight="false" outlineLevel="0" collapsed="false">
      <c r="A16" s="5" t="s">
        <v>19</v>
      </c>
      <c r="B16" s="11" t="n">
        <v>41.2710861838615</v>
      </c>
      <c r="C16" s="3" t="s">
        <v>20</v>
      </c>
      <c r="D16" s="3"/>
      <c r="E16" s="3"/>
      <c r="F16" s="3"/>
      <c r="G16" s="3"/>
      <c r="H16" s="3"/>
    </row>
    <row r="17" customFormat="false" ht="15" hidden="false" customHeight="false" outlineLevel="0" collapsed="false">
      <c r="A17" s="5" t="s">
        <v>21</v>
      </c>
      <c r="B17" s="11" t="n">
        <v>31.9972271410025</v>
      </c>
      <c r="C17" s="3" t="s">
        <v>22</v>
      </c>
      <c r="D17" s="3"/>
      <c r="E17" s="3"/>
      <c r="F17" s="3"/>
      <c r="G17" s="3"/>
      <c r="H17" s="3"/>
    </row>
    <row r="18" customFormat="false" ht="15" hidden="false" customHeight="false" outlineLevel="0" collapsed="false">
      <c r="A18" s="5" t="s">
        <v>23</v>
      </c>
      <c r="B18" s="11" t="n">
        <v>32.9333904015852</v>
      </c>
      <c r="C18" s="3" t="s">
        <v>22</v>
      </c>
      <c r="D18" s="3"/>
      <c r="E18" s="3"/>
      <c r="F18" s="3"/>
      <c r="G18" s="3"/>
      <c r="H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</row>
    <row r="20" customFormat="false" ht="15" hidden="false" customHeight="false" outlineLevel="0" collapsed="false">
      <c r="A20" s="5" t="s">
        <v>24</v>
      </c>
      <c r="B20" s="12" t="n">
        <f aca="false">(B16-B15)/B15</f>
        <v>-0.275945856423482</v>
      </c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4" t="s">
        <v>25</v>
      </c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5" t="s">
        <v>26</v>
      </c>
      <c r="B23" s="13" t="n">
        <v>0.0933972567297309</v>
      </c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5" t="s">
        <v>27</v>
      </c>
      <c r="B24" s="13" t="n">
        <v>0.025</v>
      </c>
      <c r="C24" s="3"/>
      <c r="D24" s="3"/>
      <c r="E24" s="3"/>
      <c r="F24" s="3"/>
      <c r="G24" s="3"/>
      <c r="H24" s="3"/>
    </row>
    <row r="25" customFormat="false" ht="15" hidden="false" customHeight="false" outlineLevel="0" collapsed="false">
      <c r="A25" s="5" t="s">
        <v>28</v>
      </c>
      <c r="B25" s="14" t="n">
        <v>158429.465263081</v>
      </c>
      <c r="C25" s="3"/>
      <c r="D25" s="3"/>
      <c r="E25" s="3"/>
      <c r="F25" s="3"/>
      <c r="G25" s="3"/>
      <c r="H25" s="3"/>
    </row>
    <row r="26" customFormat="false" ht="15" hidden="false" customHeight="false" outlineLevel="0" collapsed="false">
      <c r="A26" s="5" t="s">
        <v>29</v>
      </c>
      <c r="B26" s="14" t="n">
        <v>12924</v>
      </c>
      <c r="C26" s="3"/>
      <c r="D26" s="3"/>
      <c r="E26" s="3"/>
      <c r="F26" s="3"/>
      <c r="G26" s="3"/>
      <c r="H26" s="3"/>
    </row>
    <row r="27" customFormat="false" ht="15" hidden="false" customHeight="false" outlineLevel="0" collapsed="false">
      <c r="A27" s="5" t="s">
        <v>30</v>
      </c>
      <c r="B27" s="14" t="n">
        <v>145505.465263081</v>
      </c>
      <c r="C27" s="3"/>
      <c r="D27" s="3"/>
      <c r="E27" s="3"/>
      <c r="F27" s="3"/>
      <c r="G27" s="3"/>
      <c r="H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15" hidden="false" customHeight="false" outlineLevel="0" collapsed="false">
      <c r="A29" s="4" t="s">
        <v>31</v>
      </c>
      <c r="B29" s="3"/>
      <c r="C29" s="3"/>
      <c r="D29" s="3"/>
      <c r="E29" s="3"/>
      <c r="F29" s="3"/>
      <c r="G29" s="3"/>
      <c r="H29" s="3"/>
    </row>
    <row r="30" customFormat="false" ht="15" hidden="false" customHeight="false" outlineLevel="0" collapsed="false">
      <c r="A30" s="5" t="s">
        <v>32</v>
      </c>
      <c r="B30" s="15" t="n">
        <v>8.2332198398645</v>
      </c>
      <c r="C30" s="3"/>
      <c r="D30" s="3"/>
      <c r="E30" s="3"/>
      <c r="F30" s="3"/>
      <c r="G30" s="3"/>
      <c r="H30" s="3"/>
    </row>
    <row r="31" customFormat="false" ht="15" hidden="false" customHeight="false" outlineLevel="0" collapsed="false">
      <c r="A31" s="5" t="s">
        <v>33</v>
      </c>
      <c r="B31" s="15" t="n">
        <v>4.84</v>
      </c>
      <c r="C31" s="3"/>
      <c r="D31" s="3"/>
      <c r="E31" s="3"/>
      <c r="F31" s="3"/>
      <c r="G31" s="3"/>
      <c r="H31" s="3"/>
    </row>
    <row r="32" customFormat="false" ht="15" hidden="false" customHeight="false" outlineLevel="0" collapsed="false">
      <c r="A32" s="5" t="s">
        <v>34</v>
      </c>
      <c r="B32" s="15" t="n">
        <v>18.0345841335368</v>
      </c>
      <c r="C32" s="3"/>
      <c r="D32" s="3"/>
      <c r="E32" s="3"/>
      <c r="F32" s="3"/>
      <c r="G32" s="3"/>
      <c r="H32" s="3"/>
    </row>
    <row r="33" customFormat="false" ht="15" hidden="false" customHeight="false" outlineLevel="0" collapsed="false">
      <c r="A33" s="5" t="s">
        <v>35</v>
      </c>
      <c r="B33" s="15" t="n">
        <v>10.42</v>
      </c>
      <c r="C33" s="3"/>
      <c r="D33" s="3"/>
      <c r="E33" s="3"/>
      <c r="F33" s="3"/>
      <c r="G33" s="3"/>
      <c r="H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</row>
    <row r="35" customFormat="false" ht="15" hidden="false" customHeight="false" outlineLevel="0" collapsed="false">
      <c r="A35" s="4" t="s">
        <v>36</v>
      </c>
      <c r="B35" s="3"/>
      <c r="C35" s="3"/>
      <c r="D35" s="3"/>
      <c r="E35" s="3"/>
      <c r="F35" s="3"/>
      <c r="G35" s="3"/>
      <c r="H35" s="3"/>
    </row>
    <row r="36" customFormat="false" ht="17.35" hidden="false" customHeight="false" outlineLevel="0" collapsed="false">
      <c r="A36" s="16" t="s">
        <v>37</v>
      </c>
      <c r="B36" s="16"/>
      <c r="C36" s="3"/>
      <c r="D36" s="3"/>
      <c r="E36" s="3"/>
      <c r="F36" s="3"/>
      <c r="G36" s="3"/>
      <c r="H36" s="3"/>
    </row>
    <row r="37" customFormat="false" ht="45" hidden="false" customHeight="true" outlineLevel="0" collapsed="false">
      <c r="A37" s="17" t="s">
        <v>38</v>
      </c>
      <c r="B37" s="17"/>
      <c r="C37" s="17"/>
      <c r="D37" s="17"/>
      <c r="E37" s="17"/>
      <c r="F37" s="17"/>
      <c r="G37" s="17"/>
      <c r="H37" s="17"/>
    </row>
  </sheetData>
  <mergeCells count="4">
    <mergeCell ref="A1:H1"/>
    <mergeCell ref="A2:H2"/>
    <mergeCell ref="A36:B36"/>
    <mergeCell ref="A37:H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2"/>
  </cols>
  <sheetData>
    <row r="1" customFormat="false" ht="19.7" hidden="false" customHeight="false" outlineLevel="0" collapsed="false">
      <c r="A1" s="1" t="s">
        <v>39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40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4" t="s">
        <v>41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18" t="s">
        <v>42</v>
      </c>
      <c r="B5" s="19" t="s">
        <v>43</v>
      </c>
      <c r="C5" s="19" t="s">
        <v>44</v>
      </c>
      <c r="D5" s="19" t="s">
        <v>45</v>
      </c>
      <c r="E5" s="19" t="s">
        <v>46</v>
      </c>
      <c r="F5" s="19" t="s">
        <v>47</v>
      </c>
      <c r="G5" s="19" t="s">
        <v>48</v>
      </c>
      <c r="H5" s="19" t="s">
        <v>49</v>
      </c>
    </row>
    <row r="6" customFormat="false" ht="15" hidden="false" customHeight="false" outlineLevel="0" collapsed="false">
      <c r="A6" s="5" t="s">
        <v>50</v>
      </c>
      <c r="B6" s="20" t="n">
        <v>55658</v>
      </c>
      <c r="C6" s="20" t="n">
        <v>51262</v>
      </c>
      <c r="D6" s="20" t="n">
        <v>52287.24</v>
      </c>
      <c r="E6" s="20" t="n">
        <v>53855.8572</v>
      </c>
      <c r="F6" s="20" t="n">
        <v>55471.532916</v>
      </c>
      <c r="G6" s="20" t="n">
        <v>56858.3212389</v>
      </c>
      <c r="H6" s="20" t="n">
        <v>58279.7792698725</v>
      </c>
    </row>
    <row r="7" customFormat="false" ht="15" hidden="false" customHeight="false" outlineLevel="0" collapsed="false">
      <c r="A7" s="5" t="s">
        <v>51</v>
      </c>
      <c r="B7" s="20" t="n">
        <v>29016</v>
      </c>
      <c r="C7" s="20" t="n">
        <v>25978</v>
      </c>
      <c r="D7" s="20" t="n">
        <v>27189.3648</v>
      </c>
      <c r="E7" s="20" t="n">
        <v>27466.487172</v>
      </c>
      <c r="F7" s="20" t="n">
        <v>28290.48178716</v>
      </c>
      <c r="G7" s="20" t="n">
        <v>28429.16061945</v>
      </c>
      <c r="H7" s="20" t="n">
        <v>29139.8896349362</v>
      </c>
    </row>
    <row r="8" customFormat="false" ht="15" hidden="false" customHeight="false" outlineLevel="0" collapsed="false">
      <c r="A8" s="5" t="s">
        <v>52</v>
      </c>
      <c r="B8" s="20" t="n">
        <v>6300</v>
      </c>
      <c r="C8" s="20" t="n">
        <v>6500</v>
      </c>
      <c r="D8" s="20" t="n">
        <v>6274.4688</v>
      </c>
      <c r="E8" s="20" t="n">
        <v>6462.702864</v>
      </c>
      <c r="F8" s="20" t="n">
        <v>6656.58394992</v>
      </c>
      <c r="G8" s="20" t="n">
        <v>6822.998548668</v>
      </c>
      <c r="H8" s="20" t="n">
        <v>6993.5735123847</v>
      </c>
    </row>
    <row r="9" customFormat="false" ht="15" hidden="false" customHeight="false" outlineLevel="0" collapsed="false">
      <c r="A9" s="5" t="s">
        <v>53</v>
      </c>
      <c r="B9" s="20" t="n">
        <v>22716</v>
      </c>
      <c r="C9" s="20" t="n">
        <v>19478</v>
      </c>
      <c r="D9" s="20" t="n">
        <v>20914.896</v>
      </c>
      <c r="E9" s="20" t="n">
        <v>21003.784308</v>
      </c>
      <c r="F9" s="20" t="n">
        <v>21633.89783724</v>
      </c>
      <c r="G9" s="20" t="n">
        <v>21606.162070782</v>
      </c>
      <c r="H9" s="20" t="n">
        <v>22146.3161225515</v>
      </c>
    </row>
    <row r="10" customFormat="false" ht="15" hidden="false" customHeight="false" outlineLevel="0" collapsed="false">
      <c r="A10" s="5" t="s">
        <v>54</v>
      </c>
      <c r="B10" s="20" t="n">
        <v>600</v>
      </c>
      <c r="C10" s="20" t="n">
        <v>700</v>
      </c>
      <c r="D10" s="20" t="n">
        <v>700</v>
      </c>
      <c r="E10" s="20" t="n">
        <v>700</v>
      </c>
      <c r="F10" s="20" t="n">
        <v>700</v>
      </c>
      <c r="G10" s="20" t="n">
        <v>700</v>
      </c>
      <c r="H10" s="20" t="n">
        <v>700</v>
      </c>
    </row>
    <row r="11" customFormat="false" ht="15" hidden="false" customHeight="false" outlineLevel="0" collapsed="false">
      <c r="A11" s="5" t="s">
        <v>55</v>
      </c>
      <c r="B11" s="20" t="n">
        <v>22116</v>
      </c>
      <c r="C11" s="20" t="n">
        <v>18778</v>
      </c>
      <c r="D11" s="20" t="n">
        <v>20214.896</v>
      </c>
      <c r="E11" s="20" t="n">
        <v>20303.784308</v>
      </c>
      <c r="F11" s="20" t="n">
        <v>20933.89783724</v>
      </c>
      <c r="G11" s="20" t="n">
        <v>20906.162070782</v>
      </c>
      <c r="H11" s="20" t="n">
        <v>21446.3161225515</v>
      </c>
    </row>
    <row r="12" customFormat="false" ht="15" hidden="false" customHeight="false" outlineLevel="0" collapsed="false">
      <c r="A12" s="5" t="s">
        <v>56</v>
      </c>
      <c r="B12" s="20" t="n">
        <v>12515</v>
      </c>
      <c r="C12" s="20" t="n">
        <v>7635</v>
      </c>
      <c r="D12" s="20" t="n">
        <v>6266.61776</v>
      </c>
      <c r="E12" s="20" t="n">
        <v>6294.17313548</v>
      </c>
      <c r="F12" s="20" t="n">
        <v>6489.5083295444</v>
      </c>
      <c r="G12" s="20" t="n">
        <v>6480.91024194242</v>
      </c>
      <c r="H12" s="20" t="n">
        <v>6648.35799799098</v>
      </c>
    </row>
    <row r="13" customFormat="false" ht="15" hidden="false" customHeight="false" outlineLevel="0" collapsed="false">
      <c r="A13" s="5" t="s">
        <v>57</v>
      </c>
      <c r="B13" s="20" t="n">
        <v>9601</v>
      </c>
      <c r="C13" s="20" t="n">
        <v>11143</v>
      </c>
      <c r="D13" s="20" t="n">
        <v>13948.27824</v>
      </c>
      <c r="E13" s="20" t="n">
        <v>14009.61117252</v>
      </c>
      <c r="F13" s="20" t="n">
        <v>14444.3895076956</v>
      </c>
      <c r="G13" s="20" t="n">
        <v>14425.2518288396</v>
      </c>
      <c r="H13" s="20" t="n">
        <v>14797.9581245606</v>
      </c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15" hidden="false" customHeight="false" outlineLevel="0" collapsed="false">
      <c r="A15" s="4" t="s">
        <v>58</v>
      </c>
      <c r="B15" s="3"/>
      <c r="C15" s="3"/>
      <c r="D15" s="3"/>
      <c r="E15" s="3"/>
      <c r="F15" s="3"/>
      <c r="G15" s="3"/>
      <c r="H15" s="3"/>
    </row>
    <row r="16" customFormat="false" ht="15" hidden="false" customHeight="false" outlineLevel="0" collapsed="false">
      <c r="A16" s="18" t="s">
        <v>42</v>
      </c>
      <c r="B16" s="19" t="s">
        <v>43</v>
      </c>
      <c r="C16" s="19" t="s">
        <v>44</v>
      </c>
      <c r="D16" s="19" t="s">
        <v>45</v>
      </c>
      <c r="E16" s="19" t="s">
        <v>46</v>
      </c>
      <c r="F16" s="19" t="s">
        <v>47</v>
      </c>
      <c r="G16" s="19" t="s">
        <v>48</v>
      </c>
      <c r="H16" s="19" t="s">
        <v>49</v>
      </c>
    </row>
    <row r="17" customFormat="false" ht="15" hidden="false" customHeight="false" outlineLevel="0" collapsed="false">
      <c r="A17" s="5" t="s">
        <v>59</v>
      </c>
      <c r="B17" s="20" t="n">
        <v>102362</v>
      </c>
      <c r="C17" s="20" t="n">
        <v>108790</v>
      </c>
      <c r="D17" s="20" t="n">
        <v>121866.811355822</v>
      </c>
      <c r="E17" s="20" t="n">
        <v>135001.123657257</v>
      </c>
      <c r="F17" s="20" t="n">
        <v>148543.050014911</v>
      </c>
      <c r="G17" s="20" t="n">
        <v>162067.03438633</v>
      </c>
      <c r="H17" s="20" t="n">
        <v>175940.438939682</v>
      </c>
    </row>
    <row r="18" customFormat="false" ht="15" hidden="false" customHeight="false" outlineLevel="0" collapsed="false">
      <c r="A18" s="5" t="s">
        <v>60</v>
      </c>
      <c r="B18" s="20" t="n">
        <v>49120</v>
      </c>
      <c r="C18" s="20" t="n">
        <v>52218</v>
      </c>
      <c r="D18" s="20" t="n">
        <v>58494.725208</v>
      </c>
      <c r="E18" s="20" t="n">
        <v>64799.050235634</v>
      </c>
      <c r="F18" s="20" t="n">
        <v>71299.025514097</v>
      </c>
      <c r="G18" s="20" t="n">
        <v>77790.3888370748</v>
      </c>
      <c r="H18" s="20" t="n">
        <v>84449.4699931271</v>
      </c>
    </row>
    <row r="19" customFormat="false" ht="15" hidden="false" customHeight="false" outlineLevel="0" collapsed="false">
      <c r="A19" s="5" t="s">
        <v>61</v>
      </c>
      <c r="B19" s="20" t="n">
        <v>9120</v>
      </c>
      <c r="C19" s="20" t="n">
        <v>12924</v>
      </c>
      <c r="D19" s="20" t="n">
        <v>13000</v>
      </c>
      <c r="E19" s="20" t="n">
        <v>13000</v>
      </c>
      <c r="F19" s="20" t="n">
        <v>13000</v>
      </c>
      <c r="G19" s="20" t="n">
        <v>13000</v>
      </c>
      <c r="H19" s="20" t="n">
        <v>13000</v>
      </c>
    </row>
    <row r="20" customFormat="false" ht="15" hidden="false" customHeight="false" outlineLevel="0" collapsed="false">
      <c r="A20" s="5" t="s">
        <v>62</v>
      </c>
      <c r="B20" s="20" t="n">
        <v>12500</v>
      </c>
      <c r="C20" s="20" t="n">
        <v>13000</v>
      </c>
      <c r="D20" s="20" t="n">
        <v>16586.363208</v>
      </c>
      <c r="E20" s="20" t="n">
        <v>20197.895375634</v>
      </c>
      <c r="F20" s="20" t="n">
        <v>23924.294008297</v>
      </c>
      <c r="G20" s="20" t="n">
        <v>27572.7412693298</v>
      </c>
      <c r="H20" s="20" t="n">
        <v>31317.8334618885</v>
      </c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4" t="s">
        <v>63</v>
      </c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18" t="s">
        <v>42</v>
      </c>
      <c r="B23" s="19" t="s">
        <v>43</v>
      </c>
      <c r="C23" s="19" t="s">
        <v>44</v>
      </c>
      <c r="D23" s="19" t="s">
        <v>45</v>
      </c>
      <c r="E23" s="19" t="s">
        <v>46</v>
      </c>
      <c r="F23" s="19" t="s">
        <v>47</v>
      </c>
      <c r="G23" s="19" t="s">
        <v>48</v>
      </c>
      <c r="H23" s="19" t="s">
        <v>49</v>
      </c>
    </row>
    <row r="24" customFormat="false" ht="15" hidden="false" customHeight="false" outlineLevel="0" collapsed="false">
      <c r="A24" s="5" t="s">
        <v>64</v>
      </c>
      <c r="B24" s="20" t="n">
        <v>20665</v>
      </c>
      <c r="C24" s="20" t="n">
        <v>18692</v>
      </c>
      <c r="D24" s="20" t="n">
        <v>20222.74704</v>
      </c>
      <c r="E24" s="20" t="n">
        <v>20472.31403652</v>
      </c>
      <c r="F24" s="20" t="n">
        <v>21100.9734576156</v>
      </c>
      <c r="G24" s="20" t="n">
        <v>21248.2503775076</v>
      </c>
      <c r="H24" s="20" t="n">
        <v>21791.5316369453</v>
      </c>
    </row>
    <row r="25" customFormat="false" ht="15" hidden="false" customHeight="false" outlineLevel="0" collapsed="false">
      <c r="A25" s="5" t="s">
        <v>65</v>
      </c>
      <c r="B25" s="20" t="n">
        <v>9273</v>
      </c>
      <c r="C25" s="20" t="n">
        <v>9794</v>
      </c>
      <c r="D25" s="20" t="n">
        <v>8888.8308</v>
      </c>
      <c r="E25" s="20" t="n">
        <v>9155.495724</v>
      </c>
      <c r="F25" s="20" t="n">
        <v>9430.16059572</v>
      </c>
      <c r="G25" s="20" t="n">
        <v>9665.914610613</v>
      </c>
      <c r="H25" s="20" t="n">
        <v>9907.56247587832</v>
      </c>
    </row>
    <row r="26" customFormat="false" ht="15" hidden="false" customHeight="false" outlineLevel="0" collapsed="false">
      <c r="A26" s="5" t="s">
        <v>66</v>
      </c>
      <c r="B26" s="20" t="n">
        <v>11392</v>
      </c>
      <c r="C26" s="20" t="n">
        <v>8898</v>
      </c>
      <c r="D26" s="20" t="n">
        <v>11333.91624</v>
      </c>
      <c r="E26" s="20" t="n">
        <v>11316.81831252</v>
      </c>
      <c r="F26" s="20" t="n">
        <v>11670.8128618956</v>
      </c>
      <c r="G26" s="20" t="n">
        <v>11582.3357668946</v>
      </c>
      <c r="H26" s="20" t="n">
        <v>11883.9691610669</v>
      </c>
    </row>
    <row r="27" customFormat="false" ht="15" hidden="false" customHeight="false" outlineLevel="0" collapsed="false">
      <c r="A27" s="5" t="s">
        <v>67</v>
      </c>
      <c r="B27" s="20" t="n">
        <v>7700</v>
      </c>
      <c r="C27" s="20" t="n">
        <v>6700</v>
      </c>
      <c r="D27" s="20" t="n">
        <v>7671.553032</v>
      </c>
      <c r="E27" s="20" t="n">
        <v>7705.286144886</v>
      </c>
      <c r="F27" s="20" t="n">
        <v>7944.41422923258</v>
      </c>
      <c r="G27" s="20" t="n">
        <v>7933.88850586177</v>
      </c>
      <c r="H27" s="20" t="n">
        <v>8138.87696850831</v>
      </c>
    </row>
    <row r="28" customFormat="false" ht="15" hidden="false" customHeight="false" outlineLevel="0" collapsed="false">
      <c r="A28" s="21" t="s">
        <v>68</v>
      </c>
      <c r="B28" s="3"/>
      <c r="C28" s="3"/>
      <c r="D28" s="3"/>
      <c r="E28" s="3"/>
      <c r="F28" s="3"/>
      <c r="G28" s="3"/>
      <c r="H28" s="3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2"/>
  </cols>
  <sheetData>
    <row r="1" customFormat="false" ht="19.7" hidden="false" customHeight="false" outlineLevel="0" collapsed="false">
      <c r="A1" s="1" t="s">
        <v>69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70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</row>
    <row r="4" customFormat="false" ht="15" hidden="false" customHeight="false" outlineLevel="0" collapsed="false">
      <c r="A4" s="10" t="s">
        <v>71</v>
      </c>
      <c r="B4" s="19" t="s">
        <v>45</v>
      </c>
      <c r="C4" s="19" t="s">
        <v>46</v>
      </c>
      <c r="D4" s="19" t="s">
        <v>47</v>
      </c>
      <c r="E4" s="19" t="s">
        <v>48</v>
      </c>
      <c r="F4" s="19" t="s">
        <v>49</v>
      </c>
    </row>
    <row r="5" customFormat="false" ht="15" hidden="false" customHeight="false" outlineLevel="0" collapsed="false">
      <c r="A5" s="5" t="s">
        <v>72</v>
      </c>
      <c r="B5" s="13" t="n">
        <v>0.02</v>
      </c>
      <c r="C5" s="13" t="n">
        <v>0.03</v>
      </c>
      <c r="D5" s="13" t="n">
        <v>0.03</v>
      </c>
      <c r="E5" s="13" t="n">
        <v>0.025</v>
      </c>
      <c r="F5" s="13" t="n">
        <v>0.025</v>
      </c>
    </row>
    <row r="6" customFormat="false" ht="15" hidden="false" customHeight="false" outlineLevel="0" collapsed="false">
      <c r="A6" s="5" t="s">
        <v>73</v>
      </c>
      <c r="B6" s="13" t="n">
        <v>0.52</v>
      </c>
      <c r="C6" s="13" t="n">
        <v>0.51</v>
      </c>
      <c r="D6" s="13" t="n">
        <v>0.51</v>
      </c>
      <c r="E6" s="13" t="n">
        <v>0.5</v>
      </c>
      <c r="F6" s="13" t="n">
        <v>0.5</v>
      </c>
    </row>
    <row r="7" customFormat="false" ht="15" hidden="false" customHeight="false" outlineLevel="0" collapsed="false">
      <c r="A7" s="3"/>
      <c r="B7" s="3"/>
      <c r="C7" s="3"/>
      <c r="D7" s="3"/>
      <c r="E7" s="3"/>
      <c r="F7" s="3"/>
    </row>
    <row r="8" customFormat="false" ht="15" hidden="false" customHeight="false" outlineLevel="0" collapsed="false">
      <c r="A8" s="5" t="s">
        <v>74</v>
      </c>
      <c r="B8" s="13" t="n">
        <v>0.12</v>
      </c>
      <c r="C8" s="3"/>
      <c r="D8" s="3"/>
      <c r="E8" s="3"/>
      <c r="F8" s="3"/>
    </row>
    <row r="9" customFormat="false" ht="15" hidden="false" customHeight="false" outlineLevel="0" collapsed="false">
      <c r="A9" s="5" t="s">
        <v>75</v>
      </c>
      <c r="B9" s="13" t="n">
        <v>0.17</v>
      </c>
      <c r="C9" s="3"/>
      <c r="D9" s="3"/>
      <c r="E9" s="3"/>
      <c r="F9" s="3"/>
    </row>
    <row r="10" customFormat="false" ht="15" hidden="false" customHeight="false" outlineLevel="0" collapsed="false">
      <c r="A10" s="5" t="s">
        <v>76</v>
      </c>
      <c r="B10" s="13" t="n">
        <v>0.31</v>
      </c>
      <c r="C10" s="3"/>
      <c r="D10" s="3"/>
      <c r="E10" s="3"/>
      <c r="F10" s="3"/>
    </row>
    <row r="11" customFormat="false" ht="15" hidden="false" customHeight="false" outlineLevel="0" collapsed="false">
      <c r="A11" s="5" t="s">
        <v>77</v>
      </c>
      <c r="B11" s="7" t="n">
        <v>13000</v>
      </c>
      <c r="C11" s="3"/>
      <c r="D11" s="3"/>
      <c r="E11" s="3"/>
      <c r="F11" s="3"/>
    </row>
    <row r="12" customFormat="false" ht="15" hidden="false" customHeight="false" outlineLevel="0" collapsed="false">
      <c r="A12" s="5" t="s">
        <v>9</v>
      </c>
      <c r="B12" s="7" t="n">
        <v>5382.6</v>
      </c>
      <c r="C12" s="3"/>
      <c r="D12" s="3"/>
      <c r="E12" s="3"/>
      <c r="F12" s="3"/>
    </row>
    <row r="13" customFormat="false" ht="15" hidden="false" customHeight="false" outlineLevel="0" collapsed="false">
      <c r="A13" s="5" t="s">
        <v>78</v>
      </c>
      <c r="B13" s="13" t="n">
        <v>0.55</v>
      </c>
      <c r="C13" s="3"/>
      <c r="D13" s="3"/>
      <c r="E13" s="3"/>
      <c r="F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</row>
    <row r="15" customFormat="false" ht="15" hidden="false" customHeight="false" outlineLevel="0" collapsed="false">
      <c r="A15" s="4" t="s">
        <v>79</v>
      </c>
      <c r="B15" s="3"/>
      <c r="C15" s="3"/>
      <c r="D15" s="3"/>
      <c r="E15" s="3"/>
      <c r="F15" s="3"/>
    </row>
    <row r="16" customFormat="false" ht="15" hidden="false" customHeight="false" outlineLevel="0" collapsed="false">
      <c r="A16" s="22" t="s">
        <v>80</v>
      </c>
      <c r="B16" s="22"/>
      <c r="C16" s="22"/>
      <c r="D16" s="22"/>
      <c r="E16" s="22"/>
      <c r="F16" s="22"/>
    </row>
    <row r="17" customFormat="false" ht="15" hidden="false" customHeight="false" outlineLevel="0" collapsed="false">
      <c r="A17" s="22" t="s">
        <v>81</v>
      </c>
      <c r="B17" s="22"/>
      <c r="C17" s="22"/>
      <c r="D17" s="22"/>
      <c r="E17" s="22"/>
      <c r="F17" s="22"/>
    </row>
    <row r="18" customFormat="false" ht="15" hidden="false" customHeight="false" outlineLevel="0" collapsed="false">
      <c r="A18" s="22" t="s">
        <v>82</v>
      </c>
      <c r="B18" s="22"/>
      <c r="C18" s="22"/>
      <c r="D18" s="22"/>
      <c r="E18" s="22"/>
      <c r="F18" s="22"/>
    </row>
    <row r="19" customFormat="false" ht="15" hidden="false" customHeight="false" outlineLevel="0" collapsed="false">
      <c r="A19" s="22" t="s">
        <v>83</v>
      </c>
      <c r="B19" s="22"/>
      <c r="C19" s="22"/>
      <c r="D19" s="22"/>
      <c r="E19" s="22"/>
      <c r="F19" s="22"/>
    </row>
    <row r="20" customFormat="false" ht="15" hidden="false" customHeight="false" outlineLevel="0" collapsed="false">
      <c r="A20" s="22" t="s">
        <v>84</v>
      </c>
      <c r="B20" s="22"/>
      <c r="C20" s="22"/>
      <c r="D20" s="22"/>
      <c r="E20" s="22"/>
      <c r="F20" s="22"/>
    </row>
    <row r="21" customFormat="false" ht="15" hidden="false" customHeight="false" outlineLevel="0" collapsed="false">
      <c r="A21" s="22" t="s">
        <v>85</v>
      </c>
      <c r="B21" s="22"/>
      <c r="C21" s="22"/>
      <c r="D21" s="22"/>
      <c r="E21" s="22"/>
      <c r="F21" s="22"/>
    </row>
  </sheetData>
  <mergeCells count="8">
    <mergeCell ref="A1:F1"/>
    <mergeCell ref="A2:F2"/>
    <mergeCell ref="A16:F16"/>
    <mergeCell ref="A17:F17"/>
    <mergeCell ref="A18:F18"/>
    <mergeCell ref="A19:F19"/>
    <mergeCell ref="A20:F20"/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2"/>
  </cols>
  <sheetData>
    <row r="1" customFormat="false" ht="19.7" hidden="false" customHeight="false" outlineLevel="0" collapsed="false">
      <c r="A1" s="1" t="s">
        <v>86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87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</row>
    <row r="4" customFormat="false" ht="15" hidden="false" customHeight="false" outlineLevel="0" collapsed="false">
      <c r="A4" s="4" t="s">
        <v>88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5" t="s">
        <v>89</v>
      </c>
      <c r="B5" s="13" t="n">
        <v>0.043</v>
      </c>
      <c r="C5" s="3"/>
      <c r="D5" s="3"/>
      <c r="E5" s="3"/>
      <c r="F5" s="3"/>
      <c r="G5" s="3"/>
    </row>
    <row r="6" customFormat="false" ht="15" hidden="false" customHeight="false" outlineLevel="0" collapsed="false">
      <c r="A6" s="5" t="s">
        <v>90</v>
      </c>
      <c r="B6" s="23" t="n">
        <v>1.05</v>
      </c>
      <c r="C6" s="3"/>
      <c r="D6" s="3"/>
      <c r="E6" s="3"/>
      <c r="F6" s="3"/>
      <c r="G6" s="3"/>
    </row>
    <row r="7" customFormat="false" ht="15" hidden="false" customHeight="false" outlineLevel="0" collapsed="false">
      <c r="A7" s="5" t="s">
        <v>91</v>
      </c>
      <c r="B7" s="13" t="n">
        <v>0.055</v>
      </c>
      <c r="C7" s="3"/>
      <c r="D7" s="3"/>
      <c r="E7" s="3"/>
      <c r="F7" s="3"/>
      <c r="G7" s="3"/>
    </row>
    <row r="8" customFormat="false" ht="15" hidden="false" customHeight="false" outlineLevel="0" collapsed="false">
      <c r="A8" s="5" t="s">
        <v>92</v>
      </c>
      <c r="B8" s="12" t="n">
        <f aca="false">B5+B6*B7</f>
        <v>0.10075</v>
      </c>
      <c r="C8" s="3"/>
      <c r="D8" s="3"/>
      <c r="E8" s="3"/>
      <c r="F8" s="3"/>
      <c r="G8" s="3"/>
    </row>
    <row r="9" customFormat="false" ht="15" hidden="false" customHeight="false" outlineLevel="0" collapsed="false">
      <c r="A9" s="5" t="s">
        <v>93</v>
      </c>
      <c r="B9" s="13" t="n">
        <v>0.052</v>
      </c>
      <c r="C9" s="3"/>
      <c r="D9" s="3"/>
      <c r="E9" s="3"/>
      <c r="F9" s="3"/>
      <c r="G9" s="3"/>
    </row>
    <row r="10" customFormat="false" ht="15" hidden="false" customHeight="false" outlineLevel="0" collapsed="false">
      <c r="A10" s="5" t="s">
        <v>94</v>
      </c>
      <c r="B10" s="13" t="n">
        <v>0.3</v>
      </c>
      <c r="C10" s="3"/>
      <c r="D10" s="3"/>
      <c r="E10" s="3"/>
      <c r="F10" s="3"/>
      <c r="G10" s="3"/>
    </row>
    <row r="11" customFormat="false" ht="15" hidden="false" customHeight="false" outlineLevel="0" collapsed="false">
      <c r="A11" s="5" t="s">
        <v>95</v>
      </c>
      <c r="B11" s="12" t="n">
        <f aca="false">B9*(1-B10)</f>
        <v>0.0364</v>
      </c>
      <c r="C11" s="3"/>
      <c r="D11" s="3"/>
      <c r="E11" s="3"/>
      <c r="F11" s="3"/>
      <c r="G11" s="3"/>
    </row>
    <row r="12" customFormat="false" ht="15" hidden="false" customHeight="false" outlineLevel="0" collapsed="false">
      <c r="A12" s="5" t="s">
        <v>96</v>
      </c>
      <c r="B12" s="13" t="n">
        <v>0.885738255318274</v>
      </c>
      <c r="C12" s="3"/>
      <c r="D12" s="3"/>
      <c r="E12" s="3"/>
      <c r="F12" s="3"/>
      <c r="G12" s="3"/>
    </row>
    <row r="13" customFormat="false" ht="15" hidden="false" customHeight="false" outlineLevel="0" collapsed="false">
      <c r="A13" s="5" t="s">
        <v>97</v>
      </c>
      <c r="B13" s="13" t="n">
        <v>0.114261744681726</v>
      </c>
      <c r="C13" s="3"/>
      <c r="D13" s="3"/>
      <c r="E13" s="3"/>
      <c r="F13" s="3"/>
      <c r="G13" s="3"/>
    </row>
    <row r="14" customFormat="false" ht="15" hidden="false" customHeight="false" outlineLevel="0" collapsed="false">
      <c r="A14" s="5" t="s">
        <v>26</v>
      </c>
      <c r="B14" s="24" t="n">
        <f aca="false">B12*B8+B13*B11</f>
        <v>0.0933972567297309</v>
      </c>
      <c r="C14" s="3"/>
      <c r="D14" s="3"/>
      <c r="E14" s="3"/>
      <c r="F14" s="3"/>
      <c r="G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</row>
    <row r="16" customFormat="false" ht="15" hidden="false" customHeight="false" outlineLevel="0" collapsed="false">
      <c r="A16" s="4" t="s">
        <v>98</v>
      </c>
      <c r="B16" s="3"/>
      <c r="C16" s="3"/>
      <c r="D16" s="3"/>
      <c r="E16" s="3"/>
      <c r="F16" s="3"/>
      <c r="G16" s="3"/>
    </row>
    <row r="17" customFormat="false" ht="15" hidden="false" customHeight="false" outlineLevel="0" collapsed="false">
      <c r="A17" s="18" t="s">
        <v>42</v>
      </c>
      <c r="B17" s="19" t="s">
        <v>45</v>
      </c>
      <c r="C17" s="19" t="s">
        <v>46</v>
      </c>
      <c r="D17" s="19" t="s">
        <v>47</v>
      </c>
      <c r="E17" s="19" t="s">
        <v>48</v>
      </c>
      <c r="F17" s="19" t="s">
        <v>49</v>
      </c>
      <c r="G17" s="3"/>
    </row>
    <row r="18" customFormat="false" ht="15" hidden="false" customHeight="false" outlineLevel="0" collapsed="false">
      <c r="A18" s="5" t="s">
        <v>66</v>
      </c>
      <c r="B18" s="14" t="n">
        <v>11333.91624</v>
      </c>
      <c r="C18" s="14" t="n">
        <v>11316.81831252</v>
      </c>
      <c r="D18" s="14" t="n">
        <v>11670.8128618956</v>
      </c>
      <c r="E18" s="14" t="n">
        <v>11582.3357668946</v>
      </c>
      <c r="F18" s="14" t="n">
        <v>11883.9691610669</v>
      </c>
      <c r="G18" s="3"/>
    </row>
    <row r="19" customFormat="false" ht="15" hidden="false" customHeight="false" outlineLevel="0" collapsed="false">
      <c r="A19" s="5" t="s">
        <v>99</v>
      </c>
      <c r="B19" s="25" t="n">
        <v>1</v>
      </c>
      <c r="C19" s="25" t="n">
        <v>2</v>
      </c>
      <c r="D19" s="25" t="n">
        <v>3</v>
      </c>
      <c r="E19" s="25" t="n">
        <v>4</v>
      </c>
      <c r="F19" s="25" t="n">
        <v>5</v>
      </c>
      <c r="G19" s="3"/>
    </row>
    <row r="20" customFormat="false" ht="15" hidden="false" customHeight="false" outlineLevel="0" collapsed="false">
      <c r="A20" s="5" t="s">
        <v>100</v>
      </c>
      <c r="B20" s="26" t="n">
        <f aca="false">1/(1+$B$14)^B19</f>
        <v>0.914580673991194</v>
      </c>
      <c r="C20" s="26" t="n">
        <f aca="false">1/(1+$B$14)^C19</f>
        <v>0.836457809238187</v>
      </c>
      <c r="D20" s="26" t="n">
        <f aca="false">1/(1+$B$14)^D19</f>
        <v>0.765008146938259</v>
      </c>
      <c r="E20" s="26" t="n">
        <f aca="false">1/(1+$B$14)^E19</f>
        <v>0.699661666635547</v>
      </c>
      <c r="F20" s="26" t="n">
        <f aca="false">1/(1+$B$14)^F19</f>
        <v>0.639897038637341</v>
      </c>
      <c r="G20" s="3"/>
    </row>
    <row r="21" customFormat="false" ht="15" hidden="false" customHeight="false" outlineLevel="0" collapsed="false">
      <c r="A21" s="5" t="s">
        <v>101</v>
      </c>
      <c r="B21" s="20" t="n">
        <f aca="false">B18*B20</f>
        <v>10365.7807537389</v>
      </c>
      <c r="C21" s="20" t="n">
        <f aca="false">C18*C20</f>
        <v>9466.04105323707</v>
      </c>
      <c r="D21" s="20" t="n">
        <f aca="false">D18*D20</f>
        <v>8928.26692074195</v>
      </c>
      <c r="E21" s="20" t="n">
        <f aca="false">E18*E20</f>
        <v>8103.71634619797</v>
      </c>
      <c r="F21" s="20" t="n">
        <f aca="false">F18*F20</f>
        <v>7604.51667342422</v>
      </c>
      <c r="G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</row>
    <row r="23" customFormat="false" ht="15" hidden="false" customHeight="false" outlineLevel="0" collapsed="false">
      <c r="A23" s="5" t="s">
        <v>102</v>
      </c>
      <c r="B23" s="20" t="n">
        <f aca="false">SUM(B21:F21)</f>
        <v>44468.3217473401</v>
      </c>
      <c r="C23" s="3"/>
      <c r="D23" s="3"/>
      <c r="E23" s="3"/>
      <c r="F23" s="3"/>
      <c r="G23" s="3"/>
    </row>
    <row r="24" customFormat="false" ht="15" hidden="false" customHeight="false" outlineLevel="0" collapsed="false">
      <c r="A24" s="5" t="s">
        <v>103</v>
      </c>
      <c r="B24" s="13" t="n">
        <v>0.025</v>
      </c>
      <c r="C24" s="3"/>
      <c r="D24" s="3"/>
      <c r="E24" s="3"/>
      <c r="F24" s="3"/>
      <c r="G24" s="3"/>
    </row>
    <row r="25" customFormat="false" ht="15" hidden="false" customHeight="false" outlineLevel="0" collapsed="false">
      <c r="A25" s="5" t="s">
        <v>104</v>
      </c>
      <c r="B25" s="20" t="n">
        <f aca="false">F18*(1+B24)/(B14-B24)</f>
        <v>178092.937823905</v>
      </c>
      <c r="C25" s="3"/>
      <c r="D25" s="3"/>
      <c r="E25" s="3"/>
      <c r="F25" s="3"/>
      <c r="G25" s="3"/>
    </row>
    <row r="26" customFormat="false" ht="15" hidden="false" customHeight="false" outlineLevel="0" collapsed="false">
      <c r="A26" s="5" t="s">
        <v>105</v>
      </c>
      <c r="B26" s="20" t="n">
        <f aca="false">B25*F20</f>
        <v>113961.143515741</v>
      </c>
      <c r="C26" s="3"/>
      <c r="D26" s="3"/>
      <c r="E26" s="3"/>
      <c r="F26" s="3"/>
      <c r="G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</row>
    <row r="28" customFormat="false" ht="15" hidden="false" customHeight="false" outlineLevel="0" collapsed="false">
      <c r="A28" s="27" t="s">
        <v>106</v>
      </c>
      <c r="B28" s="28" t="n">
        <f aca="false">B23+B26</f>
        <v>158429.465263081</v>
      </c>
      <c r="C28" s="3"/>
      <c r="D28" s="3"/>
      <c r="E28" s="3"/>
      <c r="F28" s="3"/>
      <c r="G28" s="3"/>
    </row>
    <row r="29" customFormat="false" ht="15" hidden="false" customHeight="false" outlineLevel="0" collapsed="false">
      <c r="A29" s="5" t="s">
        <v>107</v>
      </c>
      <c r="B29" s="29" t="n">
        <v>12924</v>
      </c>
      <c r="C29" s="3"/>
      <c r="D29" s="3"/>
      <c r="E29" s="3"/>
      <c r="F29" s="3"/>
      <c r="G29" s="3"/>
    </row>
    <row r="30" customFormat="false" ht="15" hidden="false" customHeight="false" outlineLevel="0" collapsed="false">
      <c r="A30" s="27" t="s">
        <v>108</v>
      </c>
      <c r="B30" s="28" t="n">
        <f aca="false">B28-B29</f>
        <v>145505.465263081</v>
      </c>
      <c r="C30" s="3"/>
      <c r="D30" s="3"/>
      <c r="E30" s="3"/>
      <c r="F30" s="3"/>
      <c r="G30" s="3"/>
    </row>
    <row r="31" customFormat="false" ht="15" hidden="false" customHeight="false" outlineLevel="0" collapsed="false">
      <c r="A31" s="5" t="s">
        <v>9</v>
      </c>
      <c r="B31" s="7" t="n">
        <v>5382.6</v>
      </c>
      <c r="C31" s="3"/>
      <c r="D31" s="3"/>
      <c r="E31" s="3"/>
      <c r="F31" s="3"/>
      <c r="G31" s="3"/>
    </row>
    <row r="32" customFormat="false" ht="15" hidden="false" customHeight="false" outlineLevel="0" collapsed="false">
      <c r="A32" s="27" t="s">
        <v>109</v>
      </c>
      <c r="B32" s="30" t="n">
        <f aca="false">B30/B31</f>
        <v>27.0325614504293</v>
      </c>
      <c r="C32" s="3"/>
      <c r="D32" s="3"/>
      <c r="E32" s="3"/>
      <c r="F32" s="3"/>
      <c r="G32" s="3"/>
    </row>
    <row r="33" customFormat="false" ht="15" hidden="false" customHeight="false" outlineLevel="0" collapsed="false">
      <c r="A33" s="5" t="s">
        <v>12</v>
      </c>
      <c r="B33" s="9" t="n">
        <v>0.655</v>
      </c>
      <c r="C33" s="3"/>
      <c r="D33" s="3"/>
      <c r="E33" s="3"/>
      <c r="F33" s="3"/>
      <c r="G33" s="3"/>
    </row>
    <row r="34" customFormat="false" ht="16.15" hidden="false" customHeight="false" outlineLevel="0" collapsed="false">
      <c r="A34" s="31" t="s">
        <v>110</v>
      </c>
      <c r="B34" s="32" t="n">
        <f aca="false">B32/B33</f>
        <v>41.2710861838615</v>
      </c>
      <c r="C34" s="3"/>
      <c r="D34" s="3"/>
      <c r="E34" s="3"/>
      <c r="F34" s="3"/>
      <c r="G34" s="3"/>
    </row>
    <row r="35" customFormat="false" ht="15" hidden="false" customHeight="false" outlineLevel="0" collapsed="false">
      <c r="A35" s="5" t="s">
        <v>10</v>
      </c>
      <c r="B35" s="8" t="n">
        <v>57</v>
      </c>
      <c r="C35" s="3"/>
      <c r="D35" s="3"/>
      <c r="E35" s="3"/>
      <c r="F35" s="3"/>
      <c r="G35" s="3"/>
    </row>
    <row r="36" customFormat="false" ht="15" hidden="false" customHeight="false" outlineLevel="0" collapsed="false">
      <c r="A36" s="27" t="s">
        <v>111</v>
      </c>
      <c r="B36" s="33" t="n">
        <f aca="false">B34/B35-1</f>
        <v>-0.275945856423482</v>
      </c>
      <c r="C36" s="3"/>
      <c r="D36" s="3"/>
      <c r="E36" s="3"/>
      <c r="F36" s="3"/>
      <c r="G36" s="3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6"/>
  </cols>
  <sheetData>
    <row r="1" customFormat="false" ht="19.7" hidden="false" customHeight="false" outlineLevel="0" collapsed="false">
      <c r="A1" s="1" t="s">
        <v>112</v>
      </c>
      <c r="B1" s="1"/>
      <c r="C1" s="1"/>
      <c r="D1" s="1"/>
    </row>
    <row r="2" customFormat="false" ht="15" hidden="false" customHeight="false" outlineLevel="0" collapsed="false">
      <c r="A2" s="2" t="s">
        <v>113</v>
      </c>
      <c r="B2" s="2"/>
      <c r="C2" s="2"/>
      <c r="D2" s="2"/>
    </row>
    <row r="3" customFormat="false" ht="15" hidden="false" customHeight="false" outlineLevel="0" collapsed="false">
      <c r="A3" s="3"/>
      <c r="B3" s="3"/>
      <c r="C3" s="3"/>
      <c r="D3" s="3"/>
    </row>
    <row r="4" customFormat="false" ht="15" hidden="false" customHeight="false" outlineLevel="0" collapsed="false">
      <c r="A4" s="4" t="s">
        <v>114</v>
      </c>
      <c r="B4" s="3"/>
      <c r="C4" s="3"/>
      <c r="D4" s="3"/>
    </row>
    <row r="5" customFormat="false" ht="15" hidden="false" customHeight="false" outlineLevel="0" collapsed="false">
      <c r="A5" s="10" t="s">
        <v>115</v>
      </c>
      <c r="B5" s="10" t="s">
        <v>116</v>
      </c>
      <c r="C5" s="10" t="s">
        <v>117</v>
      </c>
      <c r="D5" s="3"/>
    </row>
    <row r="6" customFormat="false" ht="15" hidden="false" customHeight="false" outlineLevel="0" collapsed="false">
      <c r="A6" s="5" t="s">
        <v>118</v>
      </c>
      <c r="B6" s="34" t="n">
        <v>5.2</v>
      </c>
      <c r="C6" s="34" t="n">
        <v>10.8</v>
      </c>
      <c r="D6" s="3"/>
    </row>
    <row r="7" customFormat="false" ht="15" hidden="false" customHeight="false" outlineLevel="0" collapsed="false">
      <c r="A7" s="5" t="s">
        <v>119</v>
      </c>
      <c r="B7" s="34" t="n">
        <v>4.6</v>
      </c>
      <c r="C7" s="34" t="n">
        <v>9.5</v>
      </c>
      <c r="D7" s="3"/>
    </row>
    <row r="8" customFormat="false" ht="15" hidden="false" customHeight="false" outlineLevel="0" collapsed="false">
      <c r="A8" s="5" t="s">
        <v>120</v>
      </c>
      <c r="B8" s="34" t="n">
        <v>4.1</v>
      </c>
      <c r="C8" s="34" t="n">
        <v>8.2</v>
      </c>
      <c r="D8" s="3"/>
    </row>
    <row r="9" customFormat="false" ht="15" hidden="false" customHeight="false" outlineLevel="0" collapsed="false">
      <c r="A9" s="5" t="s">
        <v>121</v>
      </c>
      <c r="B9" s="34" t="n">
        <v>4.8</v>
      </c>
      <c r="C9" s="34" t="n">
        <v>11.5</v>
      </c>
      <c r="D9" s="3"/>
    </row>
    <row r="10" customFormat="false" ht="15" hidden="false" customHeight="false" outlineLevel="0" collapsed="false">
      <c r="A10" s="5" t="s">
        <v>122</v>
      </c>
      <c r="B10" s="34" t="n">
        <v>5.5</v>
      </c>
      <c r="C10" s="34" t="n">
        <v>12.1</v>
      </c>
      <c r="D10" s="3"/>
    </row>
    <row r="11" customFormat="false" ht="15" hidden="false" customHeight="false" outlineLevel="0" collapsed="false">
      <c r="A11" s="3"/>
      <c r="B11" s="3"/>
      <c r="C11" s="3"/>
      <c r="D11" s="3"/>
    </row>
    <row r="12" customFormat="false" ht="15" hidden="false" customHeight="false" outlineLevel="0" collapsed="false">
      <c r="A12" s="5" t="s">
        <v>123</v>
      </c>
      <c r="B12" s="35" t="n">
        <f aca="false">AVERAGE(B6:B10)</f>
        <v>4.84</v>
      </c>
      <c r="C12" s="35" t="n">
        <f aca="false">AVERAGE(C6:C10)</f>
        <v>10.42</v>
      </c>
      <c r="D12" s="3"/>
    </row>
    <row r="13" customFormat="false" ht="15" hidden="false" customHeight="false" outlineLevel="0" collapsed="false">
      <c r="A13" s="5" t="s">
        <v>124</v>
      </c>
      <c r="B13" s="35" t="n">
        <f aca="false">MEDIAN(B6:B10)</f>
        <v>4.8</v>
      </c>
      <c r="C13" s="35" t="n">
        <f aca="false">MEDIAN(C6:C10)</f>
        <v>10.8</v>
      </c>
      <c r="D13" s="3"/>
    </row>
    <row r="14" customFormat="false" ht="15" hidden="false" customHeight="false" outlineLevel="0" collapsed="false">
      <c r="A14" s="3"/>
      <c r="B14" s="3"/>
      <c r="C14" s="3"/>
      <c r="D14" s="3"/>
    </row>
    <row r="15" customFormat="false" ht="15" hidden="false" customHeight="false" outlineLevel="0" collapsed="false">
      <c r="A15" s="4" t="s">
        <v>125</v>
      </c>
      <c r="B15" s="3"/>
      <c r="C15" s="3"/>
      <c r="D15" s="3"/>
    </row>
    <row r="16" customFormat="false" ht="15" hidden="false" customHeight="false" outlineLevel="0" collapsed="false">
      <c r="A16" s="5" t="s">
        <v>126</v>
      </c>
      <c r="B16" s="14" t="n">
        <v>25978</v>
      </c>
      <c r="C16" s="3"/>
      <c r="D16" s="3"/>
    </row>
    <row r="17" customFormat="false" ht="15" hidden="false" customHeight="false" outlineLevel="0" collapsed="false">
      <c r="A17" s="5" t="s">
        <v>127</v>
      </c>
      <c r="B17" s="36" t="n">
        <v>2.07018912793074</v>
      </c>
      <c r="C17" s="3"/>
      <c r="D17" s="3"/>
    </row>
    <row r="18" customFormat="false" ht="15" hidden="false" customHeight="false" outlineLevel="0" collapsed="false">
      <c r="A18" s="5" t="s">
        <v>29</v>
      </c>
      <c r="B18" s="7" t="n">
        <v>12924</v>
      </c>
      <c r="C18" s="3"/>
      <c r="D18" s="3"/>
    </row>
    <row r="19" customFormat="false" ht="15" hidden="false" customHeight="false" outlineLevel="0" collapsed="false">
      <c r="A19" s="5" t="s">
        <v>9</v>
      </c>
      <c r="B19" s="7" t="n">
        <v>5382.6</v>
      </c>
      <c r="C19" s="3"/>
      <c r="D19" s="3"/>
    </row>
    <row r="20" customFormat="false" ht="15" hidden="false" customHeight="false" outlineLevel="0" collapsed="false">
      <c r="A20" s="5" t="s">
        <v>12</v>
      </c>
      <c r="B20" s="9" t="n">
        <v>0.655</v>
      </c>
      <c r="C20" s="3"/>
      <c r="D20" s="3"/>
    </row>
    <row r="21" customFormat="false" ht="15" hidden="false" customHeight="false" outlineLevel="0" collapsed="false">
      <c r="A21" s="3"/>
      <c r="B21" s="3"/>
      <c r="C21" s="3"/>
      <c r="D21" s="3"/>
    </row>
    <row r="22" customFormat="false" ht="15" hidden="false" customHeight="false" outlineLevel="0" collapsed="false">
      <c r="A22" s="4" t="s">
        <v>128</v>
      </c>
      <c r="B22" s="3"/>
      <c r="C22" s="3"/>
      <c r="D22" s="3"/>
    </row>
    <row r="23" customFormat="false" ht="15" hidden="false" customHeight="false" outlineLevel="0" collapsed="false">
      <c r="A23" s="10" t="s">
        <v>14</v>
      </c>
      <c r="B23" s="10" t="s">
        <v>129</v>
      </c>
      <c r="C23" s="10" t="s">
        <v>130</v>
      </c>
      <c r="D23" s="10" t="s">
        <v>15</v>
      </c>
    </row>
    <row r="24" customFormat="false" ht="15" hidden="false" customHeight="false" outlineLevel="0" collapsed="false">
      <c r="A24" s="5" t="s">
        <v>131</v>
      </c>
      <c r="B24" s="37" t="n">
        <f aca="false">B12*B16-B18</f>
        <v>112809.52</v>
      </c>
      <c r="C24" s="38" t="n">
        <f aca="false">B24/B19</f>
        <v>20.9581837773567</v>
      </c>
      <c r="D24" s="39" t="n">
        <f aca="false">C24/B20</f>
        <v>31.9972271410025</v>
      </c>
    </row>
    <row r="25" customFormat="false" ht="15" hidden="false" customHeight="false" outlineLevel="0" collapsed="false">
      <c r="A25" s="5" t="s">
        <v>132</v>
      </c>
      <c r="B25" s="37" t="n">
        <f aca="false">B13*B16-B18</f>
        <v>111770.4</v>
      </c>
      <c r="C25" s="38" t="n">
        <f aca="false">B25/B19</f>
        <v>20.7651320922974</v>
      </c>
      <c r="D25" s="39" t="n">
        <f aca="false">C25/B20</f>
        <v>31.7024917439655</v>
      </c>
    </row>
    <row r="26" customFormat="false" ht="15" hidden="false" customHeight="false" outlineLevel="0" collapsed="false">
      <c r="A26" s="5" t="s">
        <v>133</v>
      </c>
      <c r="B26" s="3" t="s">
        <v>134</v>
      </c>
      <c r="C26" s="38" t="n">
        <f aca="false">B12*B17</f>
        <v>10.0197153791848</v>
      </c>
      <c r="D26" s="39" t="n">
        <f aca="false">C26/B20</f>
        <v>15.2972753880684</v>
      </c>
    </row>
    <row r="27" customFormat="false" ht="15" hidden="false" customHeight="false" outlineLevel="0" collapsed="false">
      <c r="A27" s="5" t="s">
        <v>135</v>
      </c>
      <c r="B27" s="3" t="s">
        <v>134</v>
      </c>
      <c r="C27" s="38" t="n">
        <f aca="false">B13*B17</f>
        <v>9.93690781406755</v>
      </c>
      <c r="D27" s="39" t="n">
        <f aca="false">C27/B20</f>
        <v>15.1708516245306</v>
      </c>
    </row>
    <row r="28" customFormat="false" ht="15" hidden="false" customHeight="false" outlineLevel="0" collapsed="false">
      <c r="A28" s="3"/>
      <c r="B28" s="3"/>
      <c r="C28" s="3"/>
      <c r="D28" s="3"/>
    </row>
    <row r="29" customFormat="false" ht="15" hidden="false" customHeight="false" outlineLevel="0" collapsed="false">
      <c r="A29" s="5" t="s">
        <v>32</v>
      </c>
      <c r="B29" s="15" t="n">
        <v>8.2332198398645</v>
      </c>
      <c r="C29" s="3"/>
      <c r="D29" s="3"/>
    </row>
    <row r="30" customFormat="false" ht="15" hidden="false" customHeight="false" outlineLevel="0" collapsed="false">
      <c r="A30" s="5" t="s">
        <v>34</v>
      </c>
      <c r="B30" s="15" t="n">
        <v>18.0345841335368</v>
      </c>
      <c r="C30" s="3"/>
      <c r="D30" s="3"/>
    </row>
    <row r="31" customFormat="false" ht="15" hidden="false" customHeight="false" outlineLevel="0" collapsed="false">
      <c r="A31" s="3"/>
      <c r="B31" s="3"/>
      <c r="C31" s="3"/>
      <c r="D31" s="3"/>
    </row>
    <row r="32" customFormat="false" ht="15" hidden="false" customHeight="false" outlineLevel="0" collapsed="false">
      <c r="A32" s="40" t="s">
        <v>136</v>
      </c>
      <c r="B32" s="40"/>
      <c r="C32" s="40"/>
      <c r="D32" s="40"/>
    </row>
  </sheetData>
  <mergeCells count="3">
    <mergeCell ref="A1:D1"/>
    <mergeCell ref="A2:D2"/>
    <mergeCell ref="A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2026-06-15T11:41:37Z</dcterms:created>
  <dc:creator>openpyxl</dc:creator>
  <dc:description/>
  <dc:language>en-US</dc:language>
  <cp:lastModifiedBy/>
  <dcterms:modified xsi:type="dcterms:W3CDTF">2026-06-15T11:41:37Z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